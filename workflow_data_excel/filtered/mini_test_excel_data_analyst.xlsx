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lie\Desktop\Formations Data Analyst Scientist\"/>
    </mc:Choice>
  </mc:AlternateContent>
  <xr:revisionPtr revIDLastSave="0" documentId="8_{B79C81EB-E366-4F1D-A696-51666B2E90B1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consignes" sheetId="3" r:id="rId1"/>
    <sheet name="ventes_brutes" sheetId="1" r:id="rId2"/>
    <sheet name="clients" sheetId="2" r:id="rId3"/>
    <sheet name="CA par pays et par mois" sheetId="5" r:id="rId4"/>
    <sheet name="Client avec le plus de CA" sheetId="6" r:id="rId5"/>
    <sheet name="Graphique évolution par mois CA" sheetId="7" r:id="rId6"/>
  </sheets>
  <calcPr calcId="191029"/>
  <pivotCaches>
    <pivotCache cacheId="4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H3" i="1"/>
  <c r="H4" i="1"/>
  <c r="H5" i="1"/>
  <c r="H6" i="1"/>
  <c r="H7" i="1"/>
  <c r="H8" i="1"/>
  <c r="H9" i="1"/>
  <c r="H2" i="1"/>
  <c r="G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<sst xmlns="http://schemas.openxmlformats.org/spreadsheetml/2006/main" count="87" uniqueCount="42">
  <si>
    <t>Date</t>
  </si>
  <si>
    <t>Client</t>
  </si>
  <si>
    <t>Pays</t>
  </si>
  <si>
    <t>Produit</t>
  </si>
  <si>
    <t>Quantité</t>
  </si>
  <si>
    <t>Prix_unitaire</t>
  </si>
  <si>
    <t>2025-01-05</t>
  </si>
  <si>
    <t>Client A</t>
  </si>
  <si>
    <t>France</t>
  </si>
  <si>
    <t>Produit 1</t>
  </si>
  <si>
    <t>2025-01-06</t>
  </si>
  <si>
    <t>Client B</t>
  </si>
  <si>
    <t>Produit 2</t>
  </si>
  <si>
    <t>2025-01-07</t>
  </si>
  <si>
    <t>Client C</t>
  </si>
  <si>
    <t>Allemagne</t>
  </si>
  <si>
    <t>2025-01-10</t>
  </si>
  <si>
    <t>Produit 3</t>
  </si>
  <si>
    <t>2025-02-02</t>
  </si>
  <si>
    <t>Client D</t>
  </si>
  <si>
    <t>Espagne</t>
  </si>
  <si>
    <t>2025-02-05</t>
  </si>
  <si>
    <t>2025-02-12</t>
  </si>
  <si>
    <t>2025-03-01</t>
  </si>
  <si>
    <t>Segment</t>
  </si>
  <si>
    <t>Enterprise</t>
  </si>
  <si>
    <t>SMB</t>
  </si>
  <si>
    <t>1. Nettoyer les données (types, dates, doublons).</t>
  </si>
  <si>
    <t>2. Ajouter une colonne Chiffre_d_affaires = Quantité * Prix_unitaire.</t>
  </si>
  <si>
    <t>3. Ajouter le segment client depuis l'onglet clients.</t>
  </si>
  <si>
    <t>4. Créer un tableau croisé dynamique : CA par pays et par mois.</t>
  </si>
  <si>
    <t>5. Identifier le client avec le plus de CA.</t>
  </si>
  <si>
    <t>6. Créer un graphique d'évolution mensuelle du CA.</t>
  </si>
  <si>
    <t>Chiffre_d_affaires</t>
  </si>
  <si>
    <t>Somme de Chiffre_d_affaires</t>
  </si>
  <si>
    <t>Étiquettes de lignes</t>
  </si>
  <si>
    <t>Total général</t>
  </si>
  <si>
    <t>(Tous)</t>
  </si>
  <si>
    <t>mois</t>
  </si>
  <si>
    <t>01</t>
  </si>
  <si>
    <t>03</t>
  </si>
  <si>
    <t>lien_client_segment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</si>
</sst>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[mini_test_excel_data_analyst.xlsx]Graphique évolution par mois CA!Tableau croisé dynamique24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'Graphique évolution par mois 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'Graphique évolution par mois CA'!$A$4:$A$6</c:f>
              <c:strCache>
                <c:ptCount val="2"/>
                <c:pt idx="0">
                  <c:v>01</c:v>
                </c:pt>
                <c:pt idx="1">
                  <c:v>03</c:v>
                </c:pt>
              </c:strCache>
            </c:strRef>
          </c:cat>
          <c:val>
            <c:numRef>
              <c:f>'Graphique évolution par mois CA'!$B$4:$B$6</c:f>
              <c:numCache>
                <c:formatCode>General</c:formatCode>
                <c:ptCount val="2"/>
                <c:pt idx="0">
                  <c:v>520</c:v>
                </c:pt>
                <c:pt idx="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3-4F4C-9F66-C28621281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42575"/>
        <c:axId val="56148815"/>
      </c:barChart>
      <c:catAx>
        <c:axId val="5614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148815"/>
        <c:crosses val="autoZero"/>
        <c:auto val="1"/>
        <c:lblAlgn val="ctr"/>
        <c:lblOffset val="100"/>
        <c:noMultiLvlLbl val="0"/>
      </c:catAx>
      <c:valAx>
        <c:axId val="561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14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9</xdr:row>
      <xdr:rowOff>90487</xdr:rowOff>
    </xdr:from>
    <xdr:to>
      <xdr:col>4</xdr:col>
      <xdr:colOff>666750</xdr:colOff>
      <xdr:row>23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BFFDB6F-B5C4-2830-717C-F94787C18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n Lay" refreshedDate="46037.589080555554" createdVersion="8" refreshedVersion="8" minRefreshableVersion="3" recordCount="8" xr:uid="{A42087E8-53A2-45B3-A5C0-38625D4DE103}">
  <cacheSource type="worksheet">
    <worksheetSource name="Tableau1"/>
  </cacheSource>
  <cacheFields count="9">
    <cacheField name="Date" numFmtId="0">
      <sharedItems count="8">
        <s v="2025-01-05"/>
        <s v="2025-01-06"/>
        <s v="2025-01-07"/>
        <s v="2025-01-10"/>
        <s v="2025-02-02"/>
        <s v="2025-02-05"/>
        <s v="2025-02-12"/>
        <s v="2025-03-01"/>
      </sharedItems>
    </cacheField>
    <cacheField name="Client" numFmtId="0">
      <sharedItems count="4">
        <s v="Client A"/>
        <s v="Client B"/>
        <s v="Client C"/>
        <s v="Client D"/>
      </sharedItems>
    </cacheField>
    <cacheField name="Pays" numFmtId="0">
      <sharedItems count="3">
        <s v="France"/>
        <s v="Allemagne"/>
        <s v="Espagne"/>
      </sharedItems>
    </cacheField>
    <cacheField name="Produit" numFmtId="0">
      <sharedItems/>
    </cacheField>
    <cacheField name="Quantité" numFmtId="0">
      <sharedItems containsSemiMixedTypes="0" containsString="0" containsNumber="1" containsInteger="1" minValue="1" maxValue="5"/>
    </cacheField>
    <cacheField name="Prix_unitaire" numFmtId="0">
      <sharedItems containsSemiMixedTypes="0" containsString="0" containsNumber="1" containsInteger="1" minValue="80" maxValue="200"/>
    </cacheField>
    <cacheField name="Chiffre_d_affaires" numFmtId="0">
      <sharedItems containsSemiMixedTypes="0" containsString="0" containsNumber="1" containsInteger="1" minValue="120" maxValue="800" count="8">
        <n v="360"/>
        <n v="200"/>
        <n v="600"/>
        <n v="160"/>
        <n v="800"/>
        <n v="120"/>
        <n v="240"/>
        <n v="400"/>
      </sharedItems>
    </cacheField>
    <cacheField name="Segment_Client" numFmtId="0">
      <sharedItems count="2">
        <s v="Enterprise"/>
        <s v="SMB"/>
      </sharedItems>
    </cacheField>
    <cacheField name="mois" numFmtId="0">
      <sharedItems count="3">
        <s v="01"/>
        <s v="02"/>
        <s v="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s v="Produit 1"/>
    <n v="3"/>
    <n v="120"/>
    <x v="0"/>
    <x v="0"/>
    <x v="0"/>
  </r>
  <r>
    <x v="1"/>
    <x v="1"/>
    <x v="0"/>
    <s v="Produit 2"/>
    <n v="1"/>
    <n v="200"/>
    <x v="1"/>
    <x v="1"/>
    <x v="0"/>
  </r>
  <r>
    <x v="2"/>
    <x v="2"/>
    <x v="1"/>
    <s v="Produit 1"/>
    <n v="5"/>
    <n v="120"/>
    <x v="2"/>
    <x v="0"/>
    <x v="0"/>
  </r>
  <r>
    <x v="3"/>
    <x v="0"/>
    <x v="0"/>
    <s v="Produit 3"/>
    <n v="2"/>
    <n v="80"/>
    <x v="3"/>
    <x v="0"/>
    <x v="0"/>
  </r>
  <r>
    <x v="4"/>
    <x v="3"/>
    <x v="2"/>
    <s v="Produit 2"/>
    <n v="4"/>
    <n v="200"/>
    <x v="4"/>
    <x v="1"/>
    <x v="1"/>
  </r>
  <r>
    <x v="5"/>
    <x v="1"/>
    <x v="0"/>
    <s v="Produit 1"/>
    <n v="1"/>
    <n v="120"/>
    <x v="5"/>
    <x v="1"/>
    <x v="1"/>
  </r>
  <r>
    <x v="6"/>
    <x v="2"/>
    <x v="1"/>
    <s v="Produit 3"/>
    <n v="3"/>
    <n v="80"/>
    <x v="6"/>
    <x v="0"/>
    <x v="1"/>
  </r>
  <r>
    <x v="7"/>
    <x v="0"/>
    <x v="0"/>
    <s v="Produit 2"/>
    <n v="2"/>
    <n v="200"/>
    <x v="7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965C3-0E70-44E3-8341-1FE45CFFA6A0}" name="Tableau croisé dynamique2" cacheId="4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B16" firstHeaderRow="1" firstDataRow="1" firstDataCol="1" rowPageCount="1" colPageCount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>
      <items count="3"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2">
    <field x="2"/>
    <field x="0"/>
  </rowFields>
  <rowItems count="12">
    <i>
      <x/>
    </i>
    <i r="1">
      <x v="2"/>
    </i>
    <i r="1">
      <x v="6"/>
    </i>
    <i>
      <x v="1"/>
    </i>
    <i r="1">
      <x v="4"/>
    </i>
    <i>
      <x v="2"/>
    </i>
    <i r="1">
      <x/>
    </i>
    <i r="1">
      <x v="1"/>
    </i>
    <i r="1">
      <x v="3"/>
    </i>
    <i r="1">
      <x v="5"/>
    </i>
    <i r="1">
      <x v="7"/>
    </i>
    <i t="grand">
      <x/>
    </i>
  </rowItems>
  <colItems count="1">
    <i/>
  </colItems>
  <pageFields count="1">
    <pageField fld="8" hier="-1"/>
  </pageFields>
  <dataFields count="1">
    <dataField name="Somme de Chiffre_d_affair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801B2-56FE-48EF-A5E8-7813511D83C5}" name="Tableau croisé dynamique3" cacheId="4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9">
        <item x="5"/>
        <item x="3"/>
        <item x="1"/>
        <item x="6"/>
        <item x="0"/>
        <item x="7"/>
        <item x="2"/>
        <item x="4"/>
        <item t="default"/>
      </items>
    </pivotField>
    <pivotField showAll="0"/>
    <pivotField showAll="0"/>
  </pivotFields>
  <rowFields count="1">
    <field x="1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omme de Chiffre_d_affair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849D6-45C7-4168-8F32-04142ECEC8F7}" name="Tableau croisé dynamique24" cacheId="4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9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3">
    <i>
      <x/>
    </i>
    <i>
      <x v="2"/>
    </i>
    <i t="grand">
      <x/>
    </i>
  </rowItems>
  <colItems count="1">
    <i/>
  </colItems>
  <pageFields count="1">
    <pageField fld="1" item="0" hier="-1"/>
  </pageFields>
  <dataFields count="1">
    <dataField name="Somme de Chiffre_d_affair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8E1BC-5A23-4253-B068-5F1B0D8A097F}" name="Tableau1" displayName="Tableau1" ref="A1:I9" totalsRowShown="0">
  <autoFilter ref="A1:I9" xr:uid="{6A08E1BC-5A23-4253-B068-5F1B0D8A097F}"/>
  <tableColumns count="9">
    <tableColumn id="1" xr3:uid="{32D137B6-3C36-4972-8F5C-08A37D50C4F3}" name="Date"/>
    <tableColumn id="2" xr3:uid="{0D2302DB-95FA-4D0F-8D9D-1F52DDD335F0}" name="Client"/>
    <tableColumn id="3" xr3:uid="{1748AC50-50F5-4C62-A0D4-1A5289359B19}" name="Pays"/>
    <tableColumn id="4" xr3:uid="{E56FF665-FA1E-42C7-A28C-5969D36B71EA}" name="Produit"/>
    <tableColumn id="5" xr3:uid="{161820DC-83C9-4876-8DF5-F259C63DEA25}" name="Quantité"/>
    <tableColumn id="6" xr3:uid="{474E2B5F-987F-4EB1-98BF-6CA6CABDAF47}" name="Prix_unitaire"/>
    <tableColumn id="7" xr3:uid="{3C4D2D6E-1E7D-4312-9B3D-C810EF098933}" name="Chiffre_d_affaires" dataDxfId="2">
      <calculatedColumnFormula>Tableau1[[#This Row],[Quantité]]*Tableau1[[#This Row],[Prix_unitaire]]</calculatedColumnFormula>
    </tableColumn>
    <tableColumn id="8" xr3:uid="{76F1FA3C-20FD-43B6-97F2-4A9A6C4BCBDB}" name="lien_client_segment" dataDxfId="1">
      <calculatedColumnFormula>_xlfn.XLOOKUP(Tableau1[[#This Row],[Client]],Tableau6[Client],Tableau6[Segment],)</calculatedColumnFormula>
    </tableColumn>
    <tableColumn id="9" xr3:uid="{8BB8AC0D-B8B4-4E12-B94D-4A77F1FE482A}" name="mois" dataDxfId="0">
      <calculatedColumnFormula>MID(A2,FIND("-",A2)+1,FIND("-",A2,FIND("-",A2)+1)-FIND("-",A2)-1)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B0EF5D-74C4-454A-942E-E1EAD2C9C747}" name="Tableau6" displayName="Tableau6" ref="A1:B5" totalsRowShown="0">
  <autoFilter ref="A1:B5" xr:uid="{75B0EF5D-74C4-454A-942E-E1EAD2C9C747}"/>
  <tableColumns count="2">
    <tableColumn id="1" xr3:uid="{7355E724-F32C-4595-A05C-3EA6CB2C82E2}" name="Client"/>
    <tableColumn id="2" xr3:uid="{B1C2EB70-7633-488E-8380-1679E85EA99F}" name="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zoomScale="205" zoomScaleNormal="205"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160" zoomScaleNormal="160" workbookViewId="0">
      <selection activeCell="I9" sqref="A2:I9"/>
    </sheetView>
  </sheetViews>
  <sheetFormatPr baseColWidth="10" defaultColWidth="9.140625" defaultRowHeight="15" x14ac:dyDescent="0.25"/>
  <cols>
    <col min="1" max="1" width="10.7109375" bestFit="1" customWidth="1"/>
    <col min="2" max="2" width="8.5703125" bestFit="1" customWidth="1"/>
    <col min="3" max="3" width="10.5703125" bestFit="1" customWidth="1"/>
    <col min="4" max="4" width="9.85546875" bestFit="1" customWidth="1"/>
    <col min="5" max="5" width="11.140625" bestFit="1" customWidth="1"/>
    <col min="6" max="6" width="14.7109375" bestFit="1" customWidth="1"/>
    <col min="7" max="7" width="19.42578125" bestFit="1" customWidth="1"/>
    <col min="8" max="8" width="21.5703125" bestFit="1" customWidth="1"/>
    <col min="10" max="10" width="1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  <c r="H1" t="s">
        <v>41</v>
      </c>
      <c r="I1" t="s">
        <v>38</v>
      </c>
    </row>
    <row r="2" spans="1:10" x14ac:dyDescent="0.25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120</v>
      </c>
      <c r="G2">
        <f>Tableau1[[#This Row],[Quantité]]*Tableau1[[#This Row],[Prix_unitaire]]</f>
        <v>360</v>
      </c>
      <c r="H2" s="1" t="str">
        <f>_xlfn.XLOOKUP(Tableau1[[#This Row],[Client]],Tableau6[Client],Tableau6[Segment],)</f>
        <v>Enterprise</v>
      </c>
      <c r="I2" t="str">
        <f>MID(A2,FIND("-",A2)+1,FIND("-",A2,FIND("-",A2)+1)-FIND("-",A2)-1)</f>
        <v>01</v>
      </c>
    </row>
    <row r="3" spans="1:10" x14ac:dyDescent="0.25">
      <c r="A3" t="s">
        <v>10</v>
      </c>
      <c r="B3" t="s">
        <v>11</v>
      </c>
      <c r="C3" t="s">
        <v>8</v>
      </c>
      <c r="D3" t="s">
        <v>12</v>
      </c>
      <c r="E3">
        <v>1</v>
      </c>
      <c r="F3">
        <v>200</v>
      </c>
      <c r="G3">
        <f>Tableau1[[#This Row],[Quantité]]*Tableau1[[#This Row],[Prix_unitaire]]</f>
        <v>200</v>
      </c>
      <c r="H3" s="1" t="str">
        <f>_xlfn.XLOOKUP(Tableau1[[#This Row],[Client]],Tableau6[Client],Tableau6[Segment],)</f>
        <v>SMB</v>
      </c>
      <c r="I3" t="str">
        <f t="shared" ref="I2:I9" si="0">MID(A3,FIND("-",A3)+1,FIND("-",A3,FIND("-",A3)+1)-FIND("-",A3)-1)</f>
        <v>01</v>
      </c>
    </row>
    <row r="4" spans="1:10" x14ac:dyDescent="0.25">
      <c r="A4" t="s">
        <v>13</v>
      </c>
      <c r="B4" t="s">
        <v>14</v>
      </c>
      <c r="C4" t="s">
        <v>15</v>
      </c>
      <c r="D4" t="s">
        <v>9</v>
      </c>
      <c r="E4">
        <v>5</v>
      </c>
      <c r="F4">
        <v>120</v>
      </c>
      <c r="G4">
        <f>Tableau1[[#This Row],[Quantité]]*Tableau1[[#This Row],[Prix_unitaire]]</f>
        <v>600</v>
      </c>
      <c r="H4" s="1" t="str">
        <f>_xlfn.XLOOKUP(Tableau1[[#This Row],[Client]],Tableau6[Client],Tableau6[Segment],)</f>
        <v>Enterprise</v>
      </c>
      <c r="I4" t="str">
        <f t="shared" si="0"/>
        <v>01</v>
      </c>
    </row>
    <row r="5" spans="1:10" x14ac:dyDescent="0.25">
      <c r="A5" t="s">
        <v>16</v>
      </c>
      <c r="B5" t="s">
        <v>7</v>
      </c>
      <c r="C5" t="s">
        <v>8</v>
      </c>
      <c r="D5" t="s">
        <v>17</v>
      </c>
      <c r="E5">
        <v>2</v>
      </c>
      <c r="F5">
        <v>80</v>
      </c>
      <c r="G5">
        <f>Tableau1[[#This Row],[Quantité]]*Tableau1[[#This Row],[Prix_unitaire]]</f>
        <v>160</v>
      </c>
      <c r="H5" s="1" t="str">
        <f>_xlfn.XLOOKUP(Tableau1[[#This Row],[Client]],Tableau6[Client],Tableau6[Segment],)</f>
        <v>Enterprise</v>
      </c>
      <c r="I5" t="str">
        <f t="shared" si="0"/>
        <v>01</v>
      </c>
    </row>
    <row r="6" spans="1:10" x14ac:dyDescent="0.25">
      <c r="A6" t="s">
        <v>18</v>
      </c>
      <c r="B6" t="s">
        <v>19</v>
      </c>
      <c r="C6" t="s">
        <v>20</v>
      </c>
      <c r="D6" t="s">
        <v>12</v>
      </c>
      <c r="E6">
        <v>4</v>
      </c>
      <c r="F6">
        <v>200</v>
      </c>
      <c r="G6">
        <f>Tableau1[[#This Row],[Quantité]]*Tableau1[[#This Row],[Prix_unitaire]]</f>
        <v>800</v>
      </c>
      <c r="H6" s="1" t="str">
        <f>_xlfn.XLOOKUP(Tableau1[[#This Row],[Client]],Tableau6[Client],Tableau6[Segment],)</f>
        <v>SMB</v>
      </c>
      <c r="I6" t="str">
        <f t="shared" si="0"/>
        <v>02</v>
      </c>
    </row>
    <row r="7" spans="1:10" x14ac:dyDescent="0.25">
      <c r="A7" t="s">
        <v>21</v>
      </c>
      <c r="B7" t="s">
        <v>11</v>
      </c>
      <c r="C7" t="s">
        <v>8</v>
      </c>
      <c r="D7" t="s">
        <v>9</v>
      </c>
      <c r="E7">
        <v>1</v>
      </c>
      <c r="F7">
        <v>120</v>
      </c>
      <c r="G7">
        <f>Tableau1[[#This Row],[Quantité]]*Tableau1[[#This Row],[Prix_unitaire]]</f>
        <v>120</v>
      </c>
      <c r="H7" s="1" t="str">
        <f>_xlfn.XLOOKUP(Tableau1[[#This Row],[Client]],Tableau6[Client],Tableau6[Segment],)</f>
        <v>SMB</v>
      </c>
      <c r="I7" t="str">
        <f t="shared" si="0"/>
        <v>02</v>
      </c>
      <c r="J7" s="2"/>
    </row>
    <row r="8" spans="1:10" x14ac:dyDescent="0.25">
      <c r="A8" t="s">
        <v>22</v>
      </c>
      <c r="B8" t="s">
        <v>14</v>
      </c>
      <c r="C8" t="s">
        <v>15</v>
      </c>
      <c r="D8" t="s">
        <v>17</v>
      </c>
      <c r="E8">
        <v>3</v>
      </c>
      <c r="F8">
        <v>80</v>
      </c>
      <c r="G8">
        <f>Tableau1[[#This Row],[Quantité]]*Tableau1[[#This Row],[Prix_unitaire]]</f>
        <v>240</v>
      </c>
      <c r="H8" s="1" t="str">
        <f>_xlfn.XLOOKUP(Tableau1[[#This Row],[Client]],Tableau6[Client],Tableau6[Segment],)</f>
        <v>Enterprise</v>
      </c>
      <c r="I8" t="str">
        <f t="shared" si="0"/>
        <v>02</v>
      </c>
      <c r="J8" s="2"/>
    </row>
    <row r="9" spans="1:10" x14ac:dyDescent="0.25">
      <c r="A9" t="s">
        <v>23</v>
      </c>
      <c r="B9" t="s">
        <v>7</v>
      </c>
      <c r="C9" t="s">
        <v>8</v>
      </c>
      <c r="D9" t="s">
        <v>12</v>
      </c>
      <c r="E9">
        <v>2</v>
      </c>
      <c r="F9">
        <v>200</v>
      </c>
      <c r="G9">
        <f>Tableau1[[#This Row],[Quantité]]*Tableau1[[#This Row],[Prix_unitaire]]</f>
        <v>400</v>
      </c>
      <c r="H9" s="1" t="str">
        <f>_xlfn.XLOOKUP(Tableau1[[#This Row],[Client]],Tableau6[Client],Tableau6[Segment],)</f>
        <v>Enterprise</v>
      </c>
      <c r="I9" t="str">
        <f t="shared" si="0"/>
        <v>03</v>
      </c>
      <c r="J9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205" zoomScaleNormal="205" workbookViewId="0">
      <selection activeCell="D6" sqref="D6"/>
    </sheetView>
  </sheetViews>
  <sheetFormatPr baseColWidth="10" defaultColWidth="9.140625" defaultRowHeight="15" x14ac:dyDescent="0.25"/>
  <cols>
    <col min="1" max="1" width="8.5703125" bestFit="1" customWidth="1"/>
    <col min="2" max="2" width="11.140625" bestFit="1" customWidth="1"/>
  </cols>
  <sheetData>
    <row r="1" spans="1:2" x14ac:dyDescent="0.25">
      <c r="A1" t="s">
        <v>1</v>
      </c>
      <c r="B1" t="s">
        <v>24</v>
      </c>
    </row>
    <row r="2" spans="1:2" x14ac:dyDescent="0.25">
      <c r="A2" t="s">
        <v>7</v>
      </c>
      <c r="B2" t="s">
        <v>25</v>
      </c>
    </row>
    <row r="3" spans="1:2" x14ac:dyDescent="0.25">
      <c r="A3" t="s">
        <v>11</v>
      </c>
      <c r="B3" t="s">
        <v>26</v>
      </c>
    </row>
    <row r="4" spans="1:2" x14ac:dyDescent="0.25">
      <c r="A4" t="s">
        <v>14</v>
      </c>
      <c r="B4" t="s">
        <v>25</v>
      </c>
    </row>
    <row r="5" spans="1:2" x14ac:dyDescent="0.25">
      <c r="A5" t="s">
        <v>19</v>
      </c>
      <c r="B5" t="s">
        <v>26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0899-0E17-4AB5-AA16-7B33DC7D8B49}">
  <dimension ref="A2:B16"/>
  <sheetViews>
    <sheetView workbookViewId="0">
      <selection activeCell="B15" sqref="B15"/>
    </sheetView>
  </sheetViews>
  <sheetFormatPr baseColWidth="10" defaultRowHeight="15" x14ac:dyDescent="0.25"/>
  <cols>
    <col min="1" max="1" width="21" bestFit="1" customWidth="1"/>
    <col min="2" max="2" width="27.28515625" bestFit="1" customWidth="1"/>
  </cols>
  <sheetData>
    <row r="2" spans="1:2" x14ac:dyDescent="0.25">
      <c r="A2" s="3" t="s">
        <v>38</v>
      </c>
      <c r="B2" t="s">
        <v>37</v>
      </c>
    </row>
    <row r="4" spans="1:2" x14ac:dyDescent="0.25">
      <c r="A4" s="3" t="s">
        <v>35</v>
      </c>
      <c r="B4" t="s">
        <v>34</v>
      </c>
    </row>
    <row r="5" spans="1:2" x14ac:dyDescent="0.25">
      <c r="A5" s="4" t="s">
        <v>15</v>
      </c>
      <c r="B5" s="2">
        <v>840</v>
      </c>
    </row>
    <row r="6" spans="1:2" x14ac:dyDescent="0.25">
      <c r="A6" s="5" t="s">
        <v>13</v>
      </c>
      <c r="B6" s="2">
        <v>600</v>
      </c>
    </row>
    <row r="7" spans="1:2" x14ac:dyDescent="0.25">
      <c r="A7" s="5" t="s">
        <v>22</v>
      </c>
      <c r="B7" s="2">
        <v>240</v>
      </c>
    </row>
    <row r="8" spans="1:2" x14ac:dyDescent="0.25">
      <c r="A8" s="4" t="s">
        <v>20</v>
      </c>
      <c r="B8" s="2">
        <v>800</v>
      </c>
    </row>
    <row r="9" spans="1:2" x14ac:dyDescent="0.25">
      <c r="A9" s="5" t="s">
        <v>18</v>
      </c>
      <c r="B9" s="2">
        <v>800</v>
      </c>
    </row>
    <row r="10" spans="1:2" x14ac:dyDescent="0.25">
      <c r="A10" s="4" t="s">
        <v>8</v>
      </c>
      <c r="B10" s="2">
        <v>1240</v>
      </c>
    </row>
    <row r="11" spans="1:2" x14ac:dyDescent="0.25">
      <c r="A11" s="5" t="s">
        <v>6</v>
      </c>
      <c r="B11" s="2">
        <v>360</v>
      </c>
    </row>
    <row r="12" spans="1:2" x14ac:dyDescent="0.25">
      <c r="A12" s="5" t="s">
        <v>10</v>
      </c>
      <c r="B12" s="2">
        <v>200</v>
      </c>
    </row>
    <row r="13" spans="1:2" x14ac:dyDescent="0.25">
      <c r="A13" s="5" t="s">
        <v>16</v>
      </c>
      <c r="B13" s="2">
        <v>160</v>
      </c>
    </row>
    <row r="14" spans="1:2" x14ac:dyDescent="0.25">
      <c r="A14" s="5" t="s">
        <v>21</v>
      </c>
      <c r="B14" s="2">
        <v>120</v>
      </c>
    </row>
    <row r="15" spans="1:2" x14ac:dyDescent="0.25">
      <c r="A15" s="5" t="s">
        <v>23</v>
      </c>
      <c r="B15" s="2">
        <v>400</v>
      </c>
    </row>
    <row r="16" spans="1:2" x14ac:dyDescent="0.25">
      <c r="A16" s="4" t="s">
        <v>36</v>
      </c>
      <c r="B16" s="2">
        <v>2880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1D94-C608-42FE-8BD2-8321DAAC6D37}">
  <dimension ref="A3:B8"/>
  <sheetViews>
    <sheetView workbookViewId="0">
      <selection activeCell="F15" sqref="F15"/>
    </sheetView>
  </sheetViews>
  <sheetFormatPr baseColWidth="10" defaultRowHeight="15" x14ac:dyDescent="0.25"/>
  <cols>
    <col min="1" max="1" width="21" bestFit="1" customWidth="1"/>
    <col min="2" max="2" width="27.28515625" bestFit="1" customWidth="1"/>
  </cols>
  <sheetData>
    <row r="3" spans="1:2" x14ac:dyDescent="0.25">
      <c r="A3" s="3" t="s">
        <v>35</v>
      </c>
      <c r="B3" t="s">
        <v>34</v>
      </c>
    </row>
    <row r="4" spans="1:2" x14ac:dyDescent="0.25">
      <c r="A4" s="4" t="s">
        <v>7</v>
      </c>
      <c r="B4" s="2">
        <v>920</v>
      </c>
    </row>
    <row r="5" spans="1:2" x14ac:dyDescent="0.25">
      <c r="A5" s="4" t="s">
        <v>14</v>
      </c>
      <c r="B5" s="2">
        <v>840</v>
      </c>
    </row>
    <row r="6" spans="1:2" x14ac:dyDescent="0.25">
      <c r="A6" s="4" t="s">
        <v>19</v>
      </c>
      <c r="B6" s="2">
        <v>800</v>
      </c>
    </row>
    <row r="7" spans="1:2" x14ac:dyDescent="0.25">
      <c r="A7" s="4" t="s">
        <v>11</v>
      </c>
      <c r="B7" s="2">
        <v>320</v>
      </c>
    </row>
    <row r="8" spans="1:2" x14ac:dyDescent="0.25">
      <c r="A8" s="4" t="s">
        <v>36</v>
      </c>
      <c r="B8" s="2">
        <v>2880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634A-7B7F-4AD8-88C0-B969A9F565A8}">
  <dimension ref="A1:B6"/>
  <sheetViews>
    <sheetView tabSelected="1" workbookViewId="0">
      <selection activeCell="F42" sqref="F42"/>
    </sheetView>
  </sheetViews>
  <sheetFormatPr baseColWidth="10" defaultRowHeight="15" x14ac:dyDescent="0.25"/>
  <cols>
    <col min="1" max="1" width="21" bestFit="1" customWidth="1"/>
    <col min="2" max="2" width="27.28515625" bestFit="1" customWidth="1"/>
  </cols>
  <sheetData>
    <row r="1" spans="1:2" x14ac:dyDescent="0.25">
      <c r="A1" s="3" t="s">
        <v>1</v>
      </c>
      <c r="B1" t="s">
        <v>7</v>
      </c>
    </row>
    <row r="3" spans="1:2" x14ac:dyDescent="0.25">
      <c r="A3" s="3" t="s">
        <v>35</v>
      </c>
      <c r="B3" t="s">
        <v>34</v>
      </c>
    </row>
    <row r="4" spans="1:2" x14ac:dyDescent="0.25">
      <c r="A4" s="4" t="s">
        <v>39</v>
      </c>
      <c r="B4" s="2">
        <v>520</v>
      </c>
    </row>
    <row r="5" spans="1:2" x14ac:dyDescent="0.25">
      <c r="A5" s="4" t="s">
        <v>40</v>
      </c>
      <c r="B5" s="2">
        <v>400</v>
      </c>
    </row>
    <row r="6" spans="1:2" x14ac:dyDescent="0.25">
      <c r="A6" s="4" t="s">
        <v>36</v>
      </c>
      <c r="B6" s="2">
        <v>920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consignes</vt:lpstr>
      <vt:lpstr>ventes_brutes</vt:lpstr>
      <vt:lpstr>clients</vt:lpstr>
      <vt:lpstr>CA par pays et par mois</vt:lpstr>
      <vt:lpstr>Client avec le plus de CA</vt:lpstr>
      <vt:lpstr>Graphique évolution par mois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Lay</cp:lastModifiedBy>
  <dcterms:created xsi:type="dcterms:W3CDTF">2026-01-15T12:33:55Z</dcterms:created>
  <dcterms:modified xsi:type="dcterms:W3CDTF">2026-01-15T13:29:14Z</dcterms:modified>
</cp:coreProperties>
</file>